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5b95759d008f444/Documents/Freelance Training/Maquarie Uni/MOOCS/New Excel for Biz/C2 Excel Intermediate for Business/Workbooks/"/>
    </mc:Choice>
  </mc:AlternateContent>
  <xr:revisionPtr revIDLastSave="3" documentId="8_{947272F8-1EA2-4651-95BA-FCEF4B85FF4D}" xr6:coauthVersionLast="47" xr6:coauthVersionMax="47" xr10:uidLastSave="{C27E37E2-B0FC-4EEA-BDE6-4ACEB0A5A906}"/>
  <bookViews>
    <workbookView xWindow="-23505" yWindow="765" windowWidth="23025" windowHeight="14505" xr2:uid="{08E7EF7B-4058-4777-8DAB-724955085A65}"/>
  </bookViews>
  <sheets>
    <sheet name="Product List" sheetId="1" r:id="rId1"/>
    <sheet name="Quote" sheetId="2" r:id="rId2"/>
  </sheets>
  <definedNames>
    <definedName name="Product_Code">'Product List'!$B$4:$B$44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4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" i="1"/>
  <c r="B23" i="2"/>
  <c r="G19" i="2" l="1"/>
  <c r="G21" i="2" s="1"/>
  <c r="G23" i="2" s="1"/>
</calcChain>
</file>

<file path=xl/sharedStrings.xml><?xml version="1.0" encoding="utf-8"?>
<sst xmlns="http://schemas.openxmlformats.org/spreadsheetml/2006/main" count="133" uniqueCount="124">
  <si>
    <t xml:space="preserve"> Photo Gifts - Product List (US$)</t>
  </si>
  <si>
    <t>Product Code</t>
  </si>
  <si>
    <t>Product Name</t>
  </si>
  <si>
    <t>USD Price</t>
  </si>
  <si>
    <t>Category</t>
  </si>
  <si>
    <t>In Stock</t>
  </si>
  <si>
    <t>Low Stock</t>
  </si>
  <si>
    <t>Re-Order Amt</t>
  </si>
  <si>
    <t>Price</t>
  </si>
  <si>
    <t>P13300</t>
  </si>
  <si>
    <t>Apron - Adult sizes</t>
  </si>
  <si>
    <t>A</t>
  </si>
  <si>
    <t>P12742</t>
  </si>
  <si>
    <t>Apron Child sizes</t>
  </si>
  <si>
    <t>B</t>
  </si>
  <si>
    <t>P12161</t>
  </si>
  <si>
    <t>Big Shopper</t>
  </si>
  <si>
    <t>C</t>
  </si>
  <si>
    <t>P17484</t>
  </si>
  <si>
    <t>Glass Forever Vase Small</t>
  </si>
  <si>
    <t>D</t>
  </si>
  <si>
    <t>P17485</t>
  </si>
  <si>
    <t>Glass Forever Vase Large</t>
  </si>
  <si>
    <t>P13071</t>
  </si>
  <si>
    <t>Christmas Cards A6</t>
  </si>
  <si>
    <t>P12190</t>
  </si>
  <si>
    <t>Coaster (square)</t>
  </si>
  <si>
    <t>P13426</t>
  </si>
  <si>
    <t xml:space="preserve">Coaster 4 pack (square) </t>
  </si>
  <si>
    <t>P13037</t>
  </si>
  <si>
    <t>Coaster 4 pack (round)</t>
  </si>
  <si>
    <t>P12620</t>
  </si>
  <si>
    <t>Coaster Card (square)</t>
  </si>
  <si>
    <t>P13011</t>
  </si>
  <si>
    <t>Coaster Card (round)</t>
  </si>
  <si>
    <t>P12081</t>
  </si>
  <si>
    <t>Coaster Cards (square) 4 pack</t>
  </si>
  <si>
    <t>P13768</t>
  </si>
  <si>
    <t>Coaster Cards (round) 4 pack</t>
  </si>
  <si>
    <t>P13332</t>
  </si>
  <si>
    <t>Dry Wipe Board</t>
  </si>
  <si>
    <t>P13193</t>
  </si>
  <si>
    <t>Fridge Magnet (square)</t>
  </si>
  <si>
    <t>P12200</t>
  </si>
  <si>
    <t>Fridge Magnet (round)</t>
  </si>
  <si>
    <t>P13844</t>
  </si>
  <si>
    <t>Gym Bag - small</t>
  </si>
  <si>
    <t>P13379</t>
  </si>
  <si>
    <t>Gym Bag - Large</t>
  </si>
  <si>
    <t>P13853</t>
  </si>
  <si>
    <t>Handy Bag</t>
  </si>
  <si>
    <t>P12637</t>
  </si>
  <si>
    <t>Hanging Decoration (square)</t>
  </si>
  <si>
    <t>P12753</t>
  </si>
  <si>
    <t>Hanging Decoration (round)</t>
  </si>
  <si>
    <t>P12941</t>
  </si>
  <si>
    <t>Mug</t>
  </si>
  <si>
    <t>P12459</t>
  </si>
  <si>
    <t>Pencil Case</t>
  </si>
  <si>
    <t>P13593</t>
  </si>
  <si>
    <t>Peg Bag</t>
  </si>
  <si>
    <t>P13969</t>
  </si>
  <si>
    <t>Placemat MDF (rectangular)</t>
  </si>
  <si>
    <t>P13198</t>
  </si>
  <si>
    <t>Placemat MDF (round)</t>
  </si>
  <si>
    <t>P13554</t>
  </si>
  <si>
    <t>Plate polymer</t>
  </si>
  <si>
    <t>P13383</t>
  </si>
  <si>
    <t>Shopping List</t>
  </si>
  <si>
    <t>P12574</t>
  </si>
  <si>
    <t>Sports Bag - White</t>
  </si>
  <si>
    <t>P12551</t>
  </si>
  <si>
    <t>Sticky Notes</t>
  </si>
  <si>
    <t>P12945</t>
  </si>
  <si>
    <t>Tea Towels</t>
  </si>
  <si>
    <t>P13035</t>
  </si>
  <si>
    <t>Tee shirt - Adult sizes</t>
  </si>
  <si>
    <t>P12099</t>
  </si>
  <si>
    <t>Tee shirt - Child sizes</t>
  </si>
  <si>
    <t>P14000</t>
  </si>
  <si>
    <t>Wall Clock</t>
  </si>
  <si>
    <t>P13084</t>
  </si>
  <si>
    <t>Wash Bag</t>
  </si>
  <si>
    <t>P16355</t>
  </si>
  <si>
    <t>A4 Photo Album 24 page</t>
  </si>
  <si>
    <t>P16356</t>
  </si>
  <si>
    <t>A4 Photo Album 32 page</t>
  </si>
  <si>
    <t>P16357</t>
  </si>
  <si>
    <t>A4 Photo Album 40 page</t>
  </si>
  <si>
    <t>P16358</t>
  </si>
  <si>
    <t>Large Photo Album 24 page</t>
  </si>
  <si>
    <t>P16359</t>
  </si>
  <si>
    <t>Large Photo Album 32 page</t>
  </si>
  <si>
    <t>P16360</t>
  </si>
  <si>
    <t>Large Photo Album 40 page</t>
  </si>
  <si>
    <t xml:space="preserve"> Photo Gifts Quick Quote</t>
  </si>
  <si>
    <t>Exchange and Discounts</t>
  </si>
  <si>
    <t>Quantity</t>
  </si>
  <si>
    <t xml:space="preserve">USD Price </t>
  </si>
  <si>
    <t>Sub Total</t>
  </si>
  <si>
    <t>US Dollar</t>
  </si>
  <si>
    <t>1.00 USD</t>
  </si>
  <si>
    <t>inv. 1.00 USD</t>
  </si>
  <si>
    <t>Euro</t>
  </si>
  <si>
    <t>British Pound</t>
  </si>
  <si>
    <t>Indian Rupee</t>
  </si>
  <si>
    <t>Australian Dollar</t>
  </si>
  <si>
    <t>Canadian Dollar</t>
  </si>
  <si>
    <t>Singapore Dollar</t>
  </si>
  <si>
    <t>Swiss Franc</t>
  </si>
  <si>
    <t>Malaysian Ringgit</t>
  </si>
  <si>
    <t>Japanese Yen</t>
  </si>
  <si>
    <t>Chinese Yuan Renminbi</t>
  </si>
  <si>
    <t>Total Spend</t>
  </si>
  <si>
    <t>Gold</t>
  </si>
  <si>
    <t>Total in USD</t>
  </si>
  <si>
    <t>Currency</t>
  </si>
  <si>
    <t>Discount</t>
  </si>
  <si>
    <t>Conversion Rate</t>
  </si>
  <si>
    <t>After Discount</t>
  </si>
  <si>
    <t>Silver</t>
  </si>
  <si>
    <t>Category &amp; Reorder Amount</t>
  </si>
  <si>
    <t>Reorder</t>
  </si>
  <si>
    <t>Member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</si>
</sst>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.00"/>
    <numFmt numFmtId="165" formatCode="_-&quot;$&quot;* #,##0.00_-;\-&quot;$&quot;* #,##0.00_-;"/>
    <numFmt numFmtId="166" formatCode="0%_-"/>
  </numFmts>
  <fonts count="12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  <font>
      <sz val="18"/>
      <color theme="0"/>
      <name val="Tw Cen MT"/>
      <family val="2"/>
      <scheme val="minor"/>
    </font>
    <font>
      <sz val="18"/>
      <color theme="1"/>
      <name val="Tw Cen MT"/>
      <family val="2"/>
      <scheme val="minor"/>
    </font>
    <font>
      <b/>
      <sz val="9"/>
      <color theme="9"/>
      <name val="Tw Cen MT"/>
      <family val="2"/>
      <scheme val="minor"/>
    </font>
    <font>
      <u/>
      <sz val="11"/>
      <color theme="10"/>
      <name val="Tw Cen MT"/>
      <family val="2"/>
      <scheme val="minor"/>
    </font>
    <font>
      <sz val="18"/>
      <color rgb="FFFFC000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0"/>
      <name val="Tw Cen MT"/>
      <family val="2"/>
      <scheme val="minor"/>
    </font>
    <font>
      <sz val="11"/>
      <name val="Tw Cen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3" fillId="2" borderId="0" xfId="4" applyAlignment="1"/>
    <xf numFmtId="2" fontId="3" fillId="2" borderId="0" xfId="4" applyNumberFormat="1" applyAlignment="1">
      <alignment horizontal="center"/>
    </xf>
    <xf numFmtId="0" fontId="3" fillId="2" borderId="0" xfId="4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8" fillId="0" borderId="0" xfId="0" applyFont="1"/>
    <xf numFmtId="0" fontId="3" fillId="2" borderId="5" xfId="4" applyBorder="1" applyAlignment="1">
      <alignment horizontal="left"/>
    </xf>
    <xf numFmtId="0" fontId="9" fillId="0" borderId="0" xfId="0" applyFont="1"/>
    <xf numFmtId="0" fontId="10" fillId="2" borderId="0" xfId="4" applyFont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center"/>
    </xf>
    <xf numFmtId="165" fontId="0" fillId="0" borderId="2" xfId="1" applyNumberFormat="1" applyFont="1" applyBorder="1" applyAlignment="1">
      <alignment horizontal="right"/>
    </xf>
    <xf numFmtId="0" fontId="7" fillId="0" borderId="0" xfId="6"/>
    <xf numFmtId="0" fontId="10" fillId="2" borderId="0" xfId="4" applyFont="1" applyBorder="1" applyAlignment="1">
      <alignment horizontal="center"/>
    </xf>
    <xf numFmtId="2" fontId="10" fillId="2" borderId="0" xfId="4" applyNumberFormat="1" applyFont="1" applyAlignment="1">
      <alignment horizontal="center"/>
    </xf>
    <xf numFmtId="0" fontId="9" fillId="0" borderId="2" xfId="0" applyFont="1" applyBorder="1" applyAlignment="1">
      <alignment horizontal="center"/>
    </xf>
    <xf numFmtId="9" fontId="9" fillId="0" borderId="2" xfId="0" applyNumberFormat="1" applyFont="1" applyBorder="1" applyAlignment="1">
      <alignment horizontal="center"/>
    </xf>
    <xf numFmtId="0" fontId="0" fillId="5" borderId="2" xfId="0" applyFill="1" applyBorder="1"/>
    <xf numFmtId="0" fontId="9" fillId="5" borderId="2" xfId="0" applyFont="1" applyFill="1" applyBorder="1" applyAlignment="1">
      <alignment horizontal="center"/>
    </xf>
    <xf numFmtId="0" fontId="2" fillId="0" borderId="1" xfId="3" applyFill="1" applyAlignment="1"/>
    <xf numFmtId="0" fontId="2" fillId="0" borderId="1" xfId="3" applyFill="1" applyAlignment="1">
      <alignment horizontal="center"/>
    </xf>
    <xf numFmtId="44" fontId="2" fillId="0" borderId="1" xfId="1" applyFont="1" applyFill="1" applyBorder="1" applyAlignment="1">
      <alignment horizontal="right"/>
    </xf>
    <xf numFmtId="0" fontId="0" fillId="0" borderId="6" xfId="0" applyBorder="1"/>
    <xf numFmtId="2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7" xfId="4" applyBorder="1" applyAlignment="1">
      <alignment horizontal="center"/>
    </xf>
    <xf numFmtId="2" fontId="3" fillId="2" borderId="7" xfId="4" applyNumberFormat="1" applyBorder="1" applyAlignment="1">
      <alignment horizontal="center"/>
    </xf>
    <xf numFmtId="0" fontId="1" fillId="0" borderId="6" xfId="5" applyFill="1" applyBorder="1" applyAlignment="1">
      <alignment horizontal="center"/>
    </xf>
    <xf numFmtId="164" fontId="11" fillId="0" borderId="6" xfId="0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1" fillId="0" borderId="6" xfId="5" applyNumberFormat="1" applyFill="1" applyBorder="1" applyAlignment="1">
      <alignment horizontal="center"/>
    </xf>
    <xf numFmtId="166" fontId="0" fillId="0" borderId="2" xfId="2" applyNumberFormat="1" applyFont="1" applyBorder="1" applyAlignment="1"/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7">
    <cellStyle name="20% - Accent1" xfId="5" builtinId="30"/>
    <cellStyle name="Accent1" xfId="4" builtinId="29"/>
    <cellStyle name="Currency" xfId="1" builtinId="4"/>
    <cellStyle name="Hyperlink" xfId="6" builtinId="8"/>
    <cellStyle name="Normal" xfId="0" builtinId="0"/>
    <cellStyle name="Percent" xfId="2" builtinId="5"/>
    <cellStyle name="Total" xfId="3" builtinId="25"/>
  </cellStyles>
  <dxfs count="7">
    <dxf>
      <font>
        <color auto="1"/>
      </font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0"/>
        <name val="Tw Cen MT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Tw Cen MT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Tw Cen MT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Tw Cen MT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Tw Cen MT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10301</xdr:colOff>
      <xdr:row>10</xdr:row>
      <xdr:rowOff>9162</xdr:rowOff>
    </xdr:from>
    <xdr:to>
      <xdr:col>10</xdr:col>
      <xdr:colOff>543702</xdr:colOff>
      <xdr:row>20</xdr:row>
      <xdr:rowOff>26097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4521E47-CCA6-4FD3-8248-5DB656309D58}"/>
            </a:ext>
          </a:extLst>
        </xdr:cNvPr>
        <xdr:cNvSpPr/>
      </xdr:nvSpPr>
      <xdr:spPr>
        <a:xfrm>
          <a:off x="957916" y="2006970"/>
          <a:ext cx="8959363" cy="1775396"/>
        </a:xfrm>
        <a:prstGeom prst="roundRect">
          <a:avLst>
            <a:gd name="adj" fmla="val 2825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AU" sz="1100" b="1" kern="1200">
              <a:solidFill>
                <a:schemeClr val="accent1"/>
              </a:solidFill>
            </a:rPr>
            <a:t>Module</a:t>
          </a:r>
          <a:r>
            <a:rPr lang="en-AU" sz="1100" b="1" kern="1200" baseline="0">
              <a:solidFill>
                <a:schemeClr val="accent1"/>
              </a:solidFill>
            </a:rPr>
            <a:t> 4 - Practise Challenge </a:t>
          </a:r>
        </a:p>
        <a:p>
          <a:pPr algn="l"/>
          <a:r>
            <a:rPr lang="en-AU" sz="1100" kern="1200" baseline="0"/>
            <a:t>This sheet shows a list of photo gifts that we sell. We want to categorise the items by price, so anything under $20 is Category A, between $20 and $49.99 is category B etc. We also want to change the re-order amount calculation to reorder the appropriate amount for the category. We will then use this data to prepare a quote. To complete the task we will utilise what we learned about lookup functions in this module.</a:t>
          </a:r>
        </a:p>
        <a:p>
          <a:pPr algn="l"/>
          <a:endParaRPr lang="en-AU" sz="1100" kern="12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 kern="1200" baseline="0"/>
            <a:t>1.    In E4 use the price in D4 to lookup the category from the data in J4:L7 (Hint: use a VLOOKUP). Copy the formula down and check it works correctly.</a:t>
          </a:r>
        </a:p>
        <a:p>
          <a:pPr eaLnBrk="1" fontAlgn="auto" latinLnBrk="0" hangingPunct="1"/>
          <a:r>
            <a:rPr lang="en-AU" sz="1100" b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  </a:t>
          </a:r>
          <a:r>
            <a:rPr lang="en-A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formula in H4 returns 20 if the stock level is low, modify it to return the appropriate amount for the price category, i.e. 25, copy the formula down.</a:t>
          </a:r>
        </a:p>
        <a:p>
          <a:pPr algn="l"/>
          <a:r>
            <a:rPr lang="en-AU" sz="1100" b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  Convert the Photo Gifts data in B4:H44 to a Table and name the table </a:t>
          </a:r>
          <a:r>
            <a:rPr lang="en-AU" sz="1100" b="1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Gifts</a:t>
          </a:r>
          <a:r>
            <a:rPr lang="en-AU" sz="1100" b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AU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AU" sz="1100" b="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AU" sz="1100" b="1" kern="120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We are now ready to create our customer quote, go to the Quote sheet for the next steps...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913245</xdr:colOff>
      <xdr:row>14</xdr:row>
      <xdr:rowOff>8850</xdr:rowOff>
    </xdr:from>
    <xdr:to>
      <xdr:col>9</xdr:col>
      <xdr:colOff>142780</xdr:colOff>
      <xdr:row>25</xdr:row>
      <xdr:rowOff>46951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A8D3C57-1CE9-4F1E-8BD0-DC2FB18404E5}"/>
            </a:ext>
          </a:extLst>
        </xdr:cNvPr>
        <xdr:cNvSpPr/>
      </xdr:nvSpPr>
      <xdr:spPr>
        <a:xfrm>
          <a:off x="1001168" y="2800408"/>
          <a:ext cx="8813150" cy="2053005"/>
        </a:xfrm>
        <a:prstGeom prst="roundRect">
          <a:avLst>
            <a:gd name="adj" fmla="val 2825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AU" sz="1100" b="1" kern="1200">
              <a:solidFill>
                <a:schemeClr val="accent1"/>
              </a:solidFill>
            </a:rPr>
            <a:t>Module</a:t>
          </a:r>
          <a:r>
            <a:rPr lang="en-AU" sz="1100" b="1" kern="1200" baseline="0">
              <a:solidFill>
                <a:schemeClr val="accent1"/>
              </a:solidFill>
            </a:rPr>
            <a:t> 4 - Practise Challenge cont.</a:t>
          </a:r>
        </a:p>
        <a:p>
          <a:pPr algn="l"/>
          <a:r>
            <a:rPr lang="en-AU" sz="1100" kern="1200" baseline="0"/>
            <a:t>Using the Photo Gift data in the previous sheet we will now create a template for preparing customer quotes. Note in column B we can select the product code from a drodown list, but we will also need the product name, price and category and we don't want to look these up manually.</a:t>
          </a:r>
        </a:p>
        <a:p>
          <a:pPr algn="l"/>
          <a:endParaRPr lang="en-AU" sz="1100" kern="12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 kern="1200" baseline="0"/>
            <a:t>4.    Use calculations to Lookup the Product Name, USD Price and Category for the product code in B4.</a:t>
          </a:r>
        </a:p>
        <a:p>
          <a:pPr eaLnBrk="1" fontAlgn="auto" latinLnBrk="0" hangingPunct="1"/>
          <a:r>
            <a:rPr lang="en-AU" sz="1100" b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  </a:t>
          </a:r>
          <a:r>
            <a:rPr lang="en-A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 b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 your formula(s) so that it/they can be copied down to row 17 without generating N/A errors.</a:t>
          </a:r>
        </a:p>
        <a:p>
          <a:pPr eaLnBrk="1" fontAlgn="auto" latinLnBrk="0" hangingPunct="1"/>
          <a:r>
            <a:rPr lang="en-AU" sz="1100" b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   In C21 look up the appropriate conversion rate (2nd column in the rates table) to convert the US Dollar price to the currency selected in C20.</a:t>
          </a:r>
        </a:p>
        <a:p>
          <a:pPr eaLnBrk="1" fontAlgn="auto" latinLnBrk="0" hangingPunct="1"/>
          <a:r>
            <a:rPr lang="en-AU" sz="1100" b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   In G20 use the value in G19 to look up the discount % for Gold members in I18:K21. Confirm you get 8%.</a:t>
          </a:r>
        </a:p>
        <a:p>
          <a:pPr eaLnBrk="1" fontAlgn="auto" latinLnBrk="0" hangingPunct="1"/>
          <a:r>
            <a:rPr lang="en-AU" sz="1100" b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   </a:t>
          </a:r>
          <a:r>
            <a:rPr lang="en-AU" sz="1100" b="1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Challenge</a:t>
          </a:r>
          <a:r>
            <a:rPr lang="en-AU" sz="1100" b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Modify the formula in G20 so that if we change the Member Status in C19 to Silver we get the Silver discount rate (in this case 5%).</a:t>
          </a:r>
          <a:endParaRPr lang="en-AU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AU" sz="1100" b="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AU" sz="1100" b="1" kern="120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Well done! You are a lookup Ninja!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2FA66-6097-444C-AF9B-9A0F8D75AA1C}" name="Rates" displayName="Rates" ref="I3:K13" totalsRowShown="0" headerRowDxfId="6" dataDxfId="5">
  <tableColumns count="3">
    <tableColumn id="1" xr3:uid="{D08DD547-7576-45EE-813F-C54ACAE0655E}" name="US Dollar" dataDxfId="4"/>
    <tableColumn id="2" xr3:uid="{D86B2CAD-C757-48F6-9F60-7EA28E9342D4}" name="1.00 USD" dataDxfId="3"/>
    <tableColumn id="3" xr3:uid="{771FC632-4960-46F2-B12A-07D592FF9571}" name="inv. 1.00 USD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FF24-D47B-42FE-B1B0-215F8188AF20}">
  <dimension ref="B1:L44"/>
  <sheetViews>
    <sheetView showGridLines="0" tabSelected="1" zoomScale="130" zoomScaleNormal="130" workbookViewId="0">
      <selection activeCell="H4" sqref="H4"/>
    </sheetView>
  </sheetViews>
  <sheetFormatPr defaultRowHeight="14" x14ac:dyDescent="0.45"/>
  <cols>
    <col min="1" max="1" width="0.83203125" customWidth="1"/>
    <col min="2" max="2" width="11.609375" customWidth="1"/>
    <col min="3" max="3" width="30.27734375" customWidth="1"/>
    <col min="4" max="4" width="12.5546875" customWidth="1"/>
    <col min="5" max="8" width="12.5546875" style="6" customWidth="1"/>
    <col min="9" max="9" width="4.21875" customWidth="1"/>
    <col min="10" max="12" width="13.21875" customWidth="1"/>
    <col min="13" max="13" width="5.88671875" customWidth="1"/>
  </cols>
  <sheetData>
    <row r="1" spans="2:12" s="4" customFormat="1" ht="32.450000000000003" customHeight="1" x14ac:dyDescent="0.7">
      <c r="B1" s="1" t="s">
        <v>0</v>
      </c>
      <c r="C1" s="1"/>
      <c r="D1" s="1"/>
      <c r="E1" s="2"/>
      <c r="F1" s="1"/>
      <c r="G1" s="1"/>
      <c r="H1" s="1"/>
      <c r="J1" s="41" t="s">
        <v>121</v>
      </c>
      <c r="K1" s="41"/>
      <c r="L1" s="41"/>
    </row>
    <row r="2" spans="2:12" x14ac:dyDescent="0.45">
      <c r="E2" s="5"/>
      <c r="J2" s="7"/>
      <c r="K2" s="7"/>
      <c r="L2" s="7"/>
    </row>
    <row r="3" spans="2:12" x14ac:dyDescent="0.45">
      <c r="B3" s="8" t="s">
        <v>1</v>
      </c>
      <c r="C3" s="8" t="s">
        <v>2</v>
      </c>
      <c r="D3" s="9" t="s">
        <v>3</v>
      </c>
      <c r="E3" s="9" t="s">
        <v>4</v>
      </c>
      <c r="F3" s="10" t="s">
        <v>5</v>
      </c>
      <c r="G3" s="10" t="s">
        <v>6</v>
      </c>
      <c r="H3" s="10" t="s">
        <v>7</v>
      </c>
      <c r="J3" s="34" t="s">
        <v>8</v>
      </c>
      <c r="K3" s="35" t="s">
        <v>4</v>
      </c>
      <c r="L3" s="35" t="s">
        <v>122</v>
      </c>
    </row>
    <row r="4" spans="2:12" x14ac:dyDescent="0.45">
      <c r="B4" s="31" t="s">
        <v>9</v>
      </c>
      <c r="C4" s="31" t="s">
        <v>10</v>
      </c>
      <c r="D4" s="37">
        <v>20</v>
      </c>
      <c r="E4" s="32"/>
      <c r="F4" s="33">
        <v>2</v>
      </c>
      <c r="G4" s="33" t="str">
        <f>IF(F4&lt;10,"Y","")</f>
        <v>Y</v>
      </c>
      <c r="H4" s="33">
        <f>IF(G4="Y",20,0)</f>
        <v>20</v>
      </c>
      <c r="J4" s="39">
        <v>0</v>
      </c>
      <c r="K4" s="36" t="s">
        <v>11</v>
      </c>
      <c r="L4" s="36">
        <v>50</v>
      </c>
    </row>
    <row r="5" spans="2:12" x14ac:dyDescent="0.45">
      <c r="B5" s="31" t="s">
        <v>12</v>
      </c>
      <c r="C5" s="31" t="s">
        <v>13</v>
      </c>
      <c r="D5" s="38">
        <v>13.8</v>
      </c>
      <c r="E5" s="32"/>
      <c r="F5" s="33">
        <v>15</v>
      </c>
      <c r="G5" s="33" t="str">
        <f t="shared" ref="G5:G44" si="0">IF(F5&lt;10,"Y","")</f>
        <v/>
      </c>
      <c r="H5" s="33">
        <f t="shared" ref="H5:H44" si="1">IF(G5="Y",20,0)</f>
        <v>0</v>
      </c>
      <c r="J5" s="39">
        <v>20</v>
      </c>
      <c r="K5" s="36" t="s">
        <v>14</v>
      </c>
      <c r="L5" s="36">
        <v>25</v>
      </c>
    </row>
    <row r="6" spans="2:12" x14ac:dyDescent="0.45">
      <c r="B6" s="31" t="s">
        <v>15</v>
      </c>
      <c r="C6" s="31" t="s">
        <v>16</v>
      </c>
      <c r="D6" s="38">
        <v>14.904</v>
      </c>
      <c r="E6" s="32"/>
      <c r="F6" s="33">
        <v>27</v>
      </c>
      <c r="G6" s="33" t="str">
        <f t="shared" si="0"/>
        <v/>
      </c>
      <c r="H6" s="33">
        <f t="shared" si="1"/>
        <v>0</v>
      </c>
      <c r="J6" s="39">
        <v>50</v>
      </c>
      <c r="K6" s="36" t="s">
        <v>17</v>
      </c>
      <c r="L6" s="36">
        <v>10</v>
      </c>
    </row>
    <row r="7" spans="2:12" x14ac:dyDescent="0.45">
      <c r="B7" s="31" t="s">
        <v>18</v>
      </c>
      <c r="C7" s="31" t="s">
        <v>19</v>
      </c>
      <c r="D7" s="38">
        <v>143</v>
      </c>
      <c r="E7" s="32"/>
      <c r="F7" s="33">
        <v>3</v>
      </c>
      <c r="G7" s="33" t="str">
        <f t="shared" si="0"/>
        <v>Y</v>
      </c>
      <c r="H7" s="33">
        <f t="shared" si="1"/>
        <v>20</v>
      </c>
      <c r="J7" s="39">
        <v>100</v>
      </c>
      <c r="K7" s="36" t="s">
        <v>20</v>
      </c>
      <c r="L7" s="36">
        <v>5</v>
      </c>
    </row>
    <row r="8" spans="2:12" x14ac:dyDescent="0.45">
      <c r="B8" s="31" t="s">
        <v>21</v>
      </c>
      <c r="C8" s="31" t="s">
        <v>22</v>
      </c>
      <c r="D8" s="38">
        <v>201.5</v>
      </c>
      <c r="E8" s="32"/>
      <c r="F8" s="33">
        <v>18</v>
      </c>
      <c r="G8" s="33" t="str">
        <f t="shared" si="0"/>
        <v/>
      </c>
      <c r="H8" s="33">
        <f t="shared" si="1"/>
        <v>0</v>
      </c>
    </row>
    <row r="9" spans="2:12" x14ac:dyDescent="0.45">
      <c r="B9" s="31" t="s">
        <v>23</v>
      </c>
      <c r="C9" s="31" t="s">
        <v>24</v>
      </c>
      <c r="D9" s="38">
        <v>12.42</v>
      </c>
      <c r="E9" s="32"/>
      <c r="F9" s="33">
        <v>22</v>
      </c>
      <c r="G9" s="33" t="str">
        <f t="shared" si="0"/>
        <v/>
      </c>
      <c r="H9" s="33">
        <f t="shared" si="1"/>
        <v>0</v>
      </c>
    </row>
    <row r="10" spans="2:12" x14ac:dyDescent="0.45">
      <c r="B10" s="31" t="s">
        <v>25</v>
      </c>
      <c r="C10" s="31" t="s">
        <v>26</v>
      </c>
      <c r="D10" s="38">
        <v>5.8800000000000008</v>
      </c>
      <c r="E10" s="32"/>
      <c r="F10" s="33">
        <v>40</v>
      </c>
      <c r="G10" s="33" t="str">
        <f t="shared" si="0"/>
        <v/>
      </c>
      <c r="H10" s="33">
        <f t="shared" si="1"/>
        <v>0</v>
      </c>
    </row>
    <row r="11" spans="2:12" x14ac:dyDescent="0.45">
      <c r="B11" s="31" t="s">
        <v>27</v>
      </c>
      <c r="C11" s="31" t="s">
        <v>28</v>
      </c>
      <c r="D11" s="38">
        <v>21.528000000000002</v>
      </c>
      <c r="E11" s="32"/>
      <c r="F11" s="33">
        <v>10</v>
      </c>
      <c r="G11" s="33" t="str">
        <f t="shared" si="0"/>
        <v/>
      </c>
      <c r="H11" s="33">
        <f t="shared" si="1"/>
        <v>0</v>
      </c>
    </row>
    <row r="12" spans="2:12" x14ac:dyDescent="0.45">
      <c r="B12" s="31" t="s">
        <v>29</v>
      </c>
      <c r="C12" s="31" t="s">
        <v>30</v>
      </c>
      <c r="D12" s="38">
        <v>26.387999999999998</v>
      </c>
      <c r="E12" s="32"/>
      <c r="F12" s="33">
        <v>9</v>
      </c>
      <c r="G12" s="33" t="str">
        <f t="shared" si="0"/>
        <v>Y</v>
      </c>
      <c r="H12" s="33">
        <f t="shared" si="1"/>
        <v>20</v>
      </c>
    </row>
    <row r="13" spans="2:12" x14ac:dyDescent="0.45">
      <c r="B13" s="31" t="s">
        <v>31</v>
      </c>
      <c r="C13" s="31" t="s">
        <v>32</v>
      </c>
      <c r="D13" s="38">
        <v>9.48</v>
      </c>
      <c r="E13" s="32"/>
      <c r="F13" s="33">
        <v>46</v>
      </c>
      <c r="G13" s="33" t="str">
        <f t="shared" si="0"/>
        <v/>
      </c>
      <c r="H13" s="33">
        <f t="shared" si="1"/>
        <v>0</v>
      </c>
    </row>
    <row r="14" spans="2:12" x14ac:dyDescent="0.45">
      <c r="B14" s="31" t="s">
        <v>33</v>
      </c>
      <c r="C14" s="31" t="s">
        <v>34</v>
      </c>
      <c r="D14" s="38">
        <v>8.9400000000000013</v>
      </c>
      <c r="E14" s="32"/>
      <c r="F14" s="33">
        <v>17</v>
      </c>
      <c r="G14" s="33" t="str">
        <f t="shared" si="0"/>
        <v/>
      </c>
      <c r="H14" s="33">
        <f t="shared" si="1"/>
        <v>0</v>
      </c>
    </row>
    <row r="15" spans="2:12" x14ac:dyDescent="0.45">
      <c r="B15" s="31" t="s">
        <v>35</v>
      </c>
      <c r="C15" s="31" t="s">
        <v>36</v>
      </c>
      <c r="D15" s="38">
        <v>26.495999999999999</v>
      </c>
      <c r="E15" s="32"/>
      <c r="F15" s="33">
        <v>11</v>
      </c>
      <c r="G15" s="33" t="str">
        <f t="shared" si="0"/>
        <v/>
      </c>
      <c r="H15" s="33">
        <f t="shared" si="1"/>
        <v>0</v>
      </c>
    </row>
    <row r="16" spans="2:12" x14ac:dyDescent="0.45">
      <c r="B16" s="31" t="s">
        <v>37</v>
      </c>
      <c r="C16" s="31" t="s">
        <v>38</v>
      </c>
      <c r="D16" s="38">
        <v>29.148</v>
      </c>
      <c r="E16" s="32"/>
      <c r="F16" s="33">
        <v>18</v>
      </c>
      <c r="G16" s="33" t="str">
        <f t="shared" si="0"/>
        <v/>
      </c>
      <c r="H16" s="33">
        <f t="shared" si="1"/>
        <v>0</v>
      </c>
    </row>
    <row r="17" spans="2:8" x14ac:dyDescent="0.45">
      <c r="B17" s="31" t="s">
        <v>39</v>
      </c>
      <c r="C17" s="31" t="s">
        <v>40</v>
      </c>
      <c r="D17" s="38">
        <v>15.731999999999999</v>
      </c>
      <c r="E17" s="32"/>
      <c r="F17" s="33">
        <v>7</v>
      </c>
      <c r="G17" s="33" t="str">
        <f t="shared" si="0"/>
        <v>Y</v>
      </c>
      <c r="H17" s="33">
        <f t="shared" si="1"/>
        <v>20</v>
      </c>
    </row>
    <row r="18" spans="2:8" x14ac:dyDescent="0.45">
      <c r="B18" s="31" t="s">
        <v>41</v>
      </c>
      <c r="C18" s="31" t="s">
        <v>42</v>
      </c>
      <c r="D18" s="38">
        <v>8.2800000000000011</v>
      </c>
      <c r="E18" s="32"/>
      <c r="F18" s="33">
        <v>45</v>
      </c>
      <c r="G18" s="33" t="str">
        <f t="shared" si="0"/>
        <v/>
      </c>
      <c r="H18" s="33">
        <f t="shared" si="1"/>
        <v>0</v>
      </c>
    </row>
    <row r="19" spans="2:8" x14ac:dyDescent="0.45">
      <c r="B19" s="31" t="s">
        <v>43</v>
      </c>
      <c r="C19" s="31" t="s">
        <v>44</v>
      </c>
      <c r="D19" s="38">
        <v>8.2800000000000011</v>
      </c>
      <c r="E19" s="32"/>
      <c r="F19" s="33">
        <v>16</v>
      </c>
      <c r="G19" s="33" t="str">
        <f t="shared" si="0"/>
        <v/>
      </c>
      <c r="H19" s="33">
        <f t="shared" si="1"/>
        <v>0</v>
      </c>
    </row>
    <row r="20" spans="2:8" x14ac:dyDescent="0.45">
      <c r="B20" s="31" t="s">
        <v>45</v>
      </c>
      <c r="C20" s="31" t="s">
        <v>46</v>
      </c>
      <c r="D20" s="38">
        <v>11.592000000000001</v>
      </c>
      <c r="E20" s="32"/>
      <c r="F20" s="33">
        <v>10</v>
      </c>
      <c r="G20" s="33" t="str">
        <f t="shared" si="0"/>
        <v/>
      </c>
      <c r="H20" s="33">
        <f t="shared" si="1"/>
        <v>0</v>
      </c>
    </row>
    <row r="21" spans="2:8" x14ac:dyDescent="0.45">
      <c r="B21" s="31" t="s">
        <v>47</v>
      </c>
      <c r="C21" s="31" t="s">
        <v>48</v>
      </c>
      <c r="D21" s="38">
        <v>16.560000000000002</v>
      </c>
      <c r="E21" s="32"/>
      <c r="F21" s="33">
        <v>2</v>
      </c>
      <c r="G21" s="33" t="str">
        <f t="shared" si="0"/>
        <v>Y</v>
      </c>
      <c r="H21" s="33">
        <f t="shared" si="1"/>
        <v>20</v>
      </c>
    </row>
    <row r="22" spans="2:8" x14ac:dyDescent="0.45">
      <c r="B22" s="31" t="s">
        <v>49</v>
      </c>
      <c r="C22" s="31" t="s">
        <v>50</v>
      </c>
      <c r="D22" s="38">
        <v>11.592000000000001</v>
      </c>
      <c r="E22" s="32"/>
      <c r="F22" s="33">
        <v>26</v>
      </c>
      <c r="G22" s="33" t="str">
        <f t="shared" si="0"/>
        <v/>
      </c>
      <c r="H22" s="33">
        <f t="shared" si="1"/>
        <v>0</v>
      </c>
    </row>
    <row r="23" spans="2:8" x14ac:dyDescent="0.45">
      <c r="B23" s="31" t="s">
        <v>51</v>
      </c>
      <c r="C23" s="31" t="s">
        <v>52</v>
      </c>
      <c r="D23" s="38">
        <v>8.2800000000000011</v>
      </c>
      <c r="E23" s="32"/>
      <c r="F23" s="33">
        <v>1</v>
      </c>
      <c r="G23" s="33" t="str">
        <f t="shared" si="0"/>
        <v>Y</v>
      </c>
      <c r="H23" s="33">
        <f t="shared" si="1"/>
        <v>20</v>
      </c>
    </row>
    <row r="24" spans="2:8" x14ac:dyDescent="0.45">
      <c r="B24" s="31" t="s">
        <v>53</v>
      </c>
      <c r="C24" s="31" t="s">
        <v>54</v>
      </c>
      <c r="D24" s="38">
        <v>8.2800000000000011</v>
      </c>
      <c r="E24" s="32"/>
      <c r="F24" s="33">
        <v>28</v>
      </c>
      <c r="G24" s="33" t="str">
        <f t="shared" si="0"/>
        <v/>
      </c>
      <c r="H24" s="33">
        <f t="shared" si="1"/>
        <v>0</v>
      </c>
    </row>
    <row r="25" spans="2:8" x14ac:dyDescent="0.45">
      <c r="B25" s="31" t="s">
        <v>55</v>
      </c>
      <c r="C25" s="31" t="s">
        <v>56</v>
      </c>
      <c r="D25" s="38">
        <v>10.199999999999999</v>
      </c>
      <c r="E25" s="32"/>
      <c r="F25" s="33">
        <v>45</v>
      </c>
      <c r="G25" s="33" t="str">
        <f t="shared" si="0"/>
        <v/>
      </c>
      <c r="H25" s="33">
        <f t="shared" si="1"/>
        <v>0</v>
      </c>
    </row>
    <row r="26" spans="2:8" x14ac:dyDescent="0.45">
      <c r="B26" s="31" t="s">
        <v>57</v>
      </c>
      <c r="C26" s="31" t="s">
        <v>58</v>
      </c>
      <c r="D26" s="38">
        <v>5.0999999999999996</v>
      </c>
      <c r="E26" s="32"/>
      <c r="F26" s="33">
        <v>36</v>
      </c>
      <c r="G26" s="33" t="str">
        <f t="shared" si="0"/>
        <v/>
      </c>
      <c r="H26" s="33">
        <f t="shared" si="1"/>
        <v>0</v>
      </c>
    </row>
    <row r="27" spans="2:8" x14ac:dyDescent="0.45">
      <c r="B27" s="31" t="s">
        <v>59</v>
      </c>
      <c r="C27" s="31" t="s">
        <v>60</v>
      </c>
      <c r="D27" s="38">
        <v>14.904</v>
      </c>
      <c r="E27" s="32"/>
      <c r="F27" s="33">
        <v>40</v>
      </c>
      <c r="G27" s="33" t="str">
        <f t="shared" si="0"/>
        <v/>
      </c>
      <c r="H27" s="33">
        <f t="shared" si="1"/>
        <v>0</v>
      </c>
    </row>
    <row r="28" spans="2:8" x14ac:dyDescent="0.45">
      <c r="B28" s="31" t="s">
        <v>61</v>
      </c>
      <c r="C28" s="31" t="s">
        <v>62</v>
      </c>
      <c r="D28" s="38">
        <v>17.388000000000002</v>
      </c>
      <c r="E28" s="32"/>
      <c r="F28" s="33">
        <v>22</v>
      </c>
      <c r="G28" s="33" t="str">
        <f t="shared" si="0"/>
        <v/>
      </c>
      <c r="H28" s="33">
        <f t="shared" si="1"/>
        <v>0</v>
      </c>
    </row>
    <row r="29" spans="2:8" x14ac:dyDescent="0.45">
      <c r="B29" s="31" t="s">
        <v>63</v>
      </c>
      <c r="C29" s="31" t="s">
        <v>64</v>
      </c>
      <c r="D29" s="38">
        <v>17.388000000000002</v>
      </c>
      <c r="E29" s="32"/>
      <c r="F29" s="33">
        <v>21</v>
      </c>
      <c r="G29" s="33" t="str">
        <f t="shared" si="0"/>
        <v/>
      </c>
      <c r="H29" s="33">
        <f t="shared" si="1"/>
        <v>0</v>
      </c>
    </row>
    <row r="30" spans="2:8" x14ac:dyDescent="0.45">
      <c r="B30" s="31" t="s">
        <v>65</v>
      </c>
      <c r="C30" s="31" t="s">
        <v>66</v>
      </c>
      <c r="D30" s="38">
        <v>13.739999999999998</v>
      </c>
      <c r="E30" s="32"/>
      <c r="F30" s="33">
        <v>8</v>
      </c>
      <c r="G30" s="33" t="str">
        <f t="shared" si="0"/>
        <v>Y</v>
      </c>
      <c r="H30" s="33">
        <f t="shared" si="1"/>
        <v>20</v>
      </c>
    </row>
    <row r="31" spans="2:8" x14ac:dyDescent="0.45">
      <c r="B31" s="31" t="s">
        <v>67</v>
      </c>
      <c r="C31" s="31" t="s">
        <v>68</v>
      </c>
      <c r="D31" s="38">
        <v>15.731999999999999</v>
      </c>
      <c r="E31" s="32"/>
      <c r="F31" s="33">
        <v>6</v>
      </c>
      <c r="G31" s="33" t="str">
        <f t="shared" si="0"/>
        <v>Y</v>
      </c>
      <c r="H31" s="33">
        <f t="shared" si="1"/>
        <v>20</v>
      </c>
    </row>
    <row r="32" spans="2:8" x14ac:dyDescent="0.45">
      <c r="B32" s="31" t="s">
        <v>69</v>
      </c>
      <c r="C32" s="31" t="s">
        <v>70</v>
      </c>
      <c r="D32" s="38">
        <v>14.904</v>
      </c>
      <c r="E32" s="32"/>
      <c r="F32" s="33">
        <v>43</v>
      </c>
      <c r="G32" s="33" t="str">
        <f t="shared" si="0"/>
        <v/>
      </c>
      <c r="H32" s="33">
        <f t="shared" si="1"/>
        <v>0</v>
      </c>
    </row>
    <row r="33" spans="2:8" x14ac:dyDescent="0.45">
      <c r="B33" s="31" t="s">
        <v>71</v>
      </c>
      <c r="C33" s="31" t="s">
        <v>72</v>
      </c>
      <c r="D33" s="38">
        <v>15.731999999999999</v>
      </c>
      <c r="E33" s="32"/>
      <c r="F33" s="33">
        <v>34</v>
      </c>
      <c r="G33" s="33" t="str">
        <f t="shared" si="0"/>
        <v/>
      </c>
      <c r="H33" s="33">
        <f t="shared" si="1"/>
        <v>0</v>
      </c>
    </row>
    <row r="34" spans="2:8" x14ac:dyDescent="0.45">
      <c r="B34" s="31" t="s">
        <v>73</v>
      </c>
      <c r="C34" s="31" t="s">
        <v>74</v>
      </c>
      <c r="D34" s="38">
        <v>12.42</v>
      </c>
      <c r="E34" s="32"/>
      <c r="F34" s="33">
        <v>24</v>
      </c>
      <c r="G34" s="33" t="str">
        <f t="shared" si="0"/>
        <v/>
      </c>
      <c r="H34" s="33">
        <f t="shared" si="1"/>
        <v>0</v>
      </c>
    </row>
    <row r="35" spans="2:8" x14ac:dyDescent="0.45">
      <c r="B35" s="31" t="s">
        <v>75</v>
      </c>
      <c r="C35" s="31" t="s">
        <v>76</v>
      </c>
      <c r="D35" s="38">
        <v>16.560000000000002</v>
      </c>
      <c r="E35" s="32"/>
      <c r="F35" s="33">
        <v>41</v>
      </c>
      <c r="G35" s="33" t="str">
        <f t="shared" si="0"/>
        <v/>
      </c>
      <c r="H35" s="33">
        <f t="shared" si="1"/>
        <v>0</v>
      </c>
    </row>
    <row r="36" spans="2:8" x14ac:dyDescent="0.45">
      <c r="B36" s="31" t="s">
        <v>77</v>
      </c>
      <c r="C36" s="31" t="s">
        <v>78</v>
      </c>
      <c r="D36" s="38">
        <v>15.456000000000001</v>
      </c>
      <c r="E36" s="32"/>
      <c r="F36" s="33">
        <v>50</v>
      </c>
      <c r="G36" s="33" t="str">
        <f t="shared" si="0"/>
        <v/>
      </c>
      <c r="H36" s="33">
        <f t="shared" si="1"/>
        <v>0</v>
      </c>
    </row>
    <row r="37" spans="2:8" x14ac:dyDescent="0.45">
      <c r="B37" s="31" t="s">
        <v>79</v>
      </c>
      <c r="C37" s="31" t="s">
        <v>80</v>
      </c>
      <c r="D37" s="38">
        <v>19.872</v>
      </c>
      <c r="E37" s="32"/>
      <c r="F37" s="33">
        <v>47</v>
      </c>
      <c r="G37" s="33" t="str">
        <f t="shared" si="0"/>
        <v/>
      </c>
      <c r="H37" s="33">
        <f t="shared" si="1"/>
        <v>0</v>
      </c>
    </row>
    <row r="38" spans="2:8" x14ac:dyDescent="0.45">
      <c r="B38" s="31" t="s">
        <v>81</v>
      </c>
      <c r="C38" s="31" t="s">
        <v>82</v>
      </c>
      <c r="D38" s="38">
        <v>13.247999999999999</v>
      </c>
      <c r="E38" s="32"/>
      <c r="F38" s="33">
        <v>29</v>
      </c>
      <c r="G38" s="33" t="str">
        <f t="shared" si="0"/>
        <v/>
      </c>
      <c r="H38" s="33">
        <f t="shared" si="1"/>
        <v>0</v>
      </c>
    </row>
    <row r="39" spans="2:8" x14ac:dyDescent="0.45">
      <c r="B39" s="31" t="s">
        <v>83</v>
      </c>
      <c r="C39" s="31" t="s">
        <v>84</v>
      </c>
      <c r="D39" s="38">
        <v>27.587999999999997</v>
      </c>
      <c r="E39" s="32"/>
      <c r="F39" s="33">
        <v>28</v>
      </c>
      <c r="G39" s="33" t="str">
        <f t="shared" si="0"/>
        <v/>
      </c>
      <c r="H39" s="33">
        <f t="shared" si="1"/>
        <v>0</v>
      </c>
    </row>
    <row r="40" spans="2:8" x14ac:dyDescent="0.45">
      <c r="B40" s="31" t="s">
        <v>85</v>
      </c>
      <c r="C40" s="31" t="s">
        <v>86</v>
      </c>
      <c r="D40" s="38">
        <v>43.188000000000002</v>
      </c>
      <c r="E40" s="32"/>
      <c r="F40" s="33">
        <v>2</v>
      </c>
      <c r="G40" s="33" t="str">
        <f t="shared" si="0"/>
        <v>Y</v>
      </c>
      <c r="H40" s="33">
        <f t="shared" si="1"/>
        <v>20</v>
      </c>
    </row>
    <row r="41" spans="2:8" x14ac:dyDescent="0.45">
      <c r="B41" s="31" t="s">
        <v>87</v>
      </c>
      <c r="C41" s="31" t="s">
        <v>88</v>
      </c>
      <c r="D41" s="38">
        <v>53.988</v>
      </c>
      <c r="E41" s="32"/>
      <c r="F41" s="33">
        <v>26</v>
      </c>
      <c r="G41" s="33" t="str">
        <f t="shared" si="0"/>
        <v/>
      </c>
      <c r="H41" s="33">
        <f t="shared" si="1"/>
        <v>0</v>
      </c>
    </row>
    <row r="42" spans="2:8" x14ac:dyDescent="0.45">
      <c r="B42" s="31" t="s">
        <v>89</v>
      </c>
      <c r="C42" s="31" t="s">
        <v>90</v>
      </c>
      <c r="D42" s="38">
        <v>51.588000000000001</v>
      </c>
      <c r="E42" s="32"/>
      <c r="F42" s="33">
        <v>49</v>
      </c>
      <c r="G42" s="33" t="str">
        <f t="shared" si="0"/>
        <v/>
      </c>
      <c r="H42" s="33">
        <f t="shared" si="1"/>
        <v>0</v>
      </c>
    </row>
    <row r="43" spans="2:8" x14ac:dyDescent="0.45">
      <c r="B43" s="31" t="s">
        <v>91</v>
      </c>
      <c r="C43" s="31" t="s">
        <v>92</v>
      </c>
      <c r="D43" s="38">
        <v>68.388000000000005</v>
      </c>
      <c r="E43" s="32"/>
      <c r="F43" s="33">
        <v>10</v>
      </c>
      <c r="G43" s="33" t="str">
        <f t="shared" si="0"/>
        <v/>
      </c>
      <c r="H43" s="33">
        <f t="shared" si="1"/>
        <v>0</v>
      </c>
    </row>
    <row r="44" spans="2:8" x14ac:dyDescent="0.45">
      <c r="B44" s="31" t="s">
        <v>93</v>
      </c>
      <c r="C44" s="31" t="s">
        <v>94</v>
      </c>
      <c r="D44" s="38">
        <v>79.187999999999988</v>
      </c>
      <c r="E44" s="32"/>
      <c r="F44" s="33">
        <v>15</v>
      </c>
      <c r="G44" s="33" t="str">
        <f t="shared" si="0"/>
        <v/>
      </c>
      <c r="H44" s="33">
        <f t="shared" si="1"/>
        <v>0</v>
      </c>
    </row>
  </sheetData>
  <mergeCells count="1">
    <mergeCell ref="J1:L1"/>
  </mergeCells>
  <conditionalFormatting sqref="G4:G44">
    <cfRule type="cellIs" dxfId="1" priority="1" operator="equal">
      <formula>"Y"</formula>
    </cfRule>
  </conditionalFormatting>
  <conditionalFormatting sqref="H4:H44"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DE5D-CDE5-480F-8E69-71E003D7BC22}">
  <dimension ref="B1:O24"/>
  <sheetViews>
    <sheetView showGridLines="0" zoomScale="130" zoomScaleNormal="130" workbookViewId="0">
      <selection activeCell="G21" sqref="G21"/>
    </sheetView>
  </sheetViews>
  <sheetFormatPr defaultRowHeight="14" x14ac:dyDescent="0.45"/>
  <cols>
    <col min="1" max="1" width="1.1640625" customWidth="1"/>
    <col min="2" max="2" width="16.109375" customWidth="1"/>
    <col min="3" max="3" width="17.5546875" customWidth="1"/>
    <col min="4" max="4" width="30.27734375" customWidth="1"/>
    <col min="5" max="5" width="12" customWidth="1"/>
    <col min="6" max="6" width="14.38671875" style="6" customWidth="1"/>
    <col min="7" max="7" width="14.38671875" customWidth="1"/>
    <col min="8" max="8" width="3.83203125" customWidth="1"/>
    <col min="9" max="9" width="17.1640625" customWidth="1"/>
    <col min="10" max="10" width="10.609375" customWidth="1"/>
    <col min="11" max="11" width="10.71875" customWidth="1"/>
  </cols>
  <sheetData>
    <row r="1" spans="2:15" s="4" customFormat="1" ht="32.450000000000003" customHeight="1" x14ac:dyDescent="0.7">
      <c r="B1" s="3" t="s">
        <v>95</v>
      </c>
      <c r="C1" s="3"/>
      <c r="D1" s="3"/>
      <c r="E1" s="3"/>
      <c r="F1" s="2"/>
      <c r="G1" s="2"/>
      <c r="I1" s="42" t="s">
        <v>96</v>
      </c>
      <c r="J1" s="43"/>
      <c r="K1" s="43"/>
      <c r="N1" s="13"/>
      <c r="O1"/>
    </row>
    <row r="2" spans="2:15" x14ac:dyDescent="0.45">
      <c r="F2"/>
      <c r="G2" s="6"/>
    </row>
    <row r="3" spans="2:15" x14ac:dyDescent="0.45">
      <c r="B3" s="14" t="s">
        <v>1</v>
      </c>
      <c r="C3" s="10" t="s">
        <v>97</v>
      </c>
      <c r="D3" s="10" t="s">
        <v>2</v>
      </c>
      <c r="E3" s="9" t="s">
        <v>98</v>
      </c>
      <c r="F3" s="10" t="s">
        <v>4</v>
      </c>
      <c r="G3" s="10" t="s">
        <v>99</v>
      </c>
      <c r="I3" s="15" t="s">
        <v>100</v>
      </c>
      <c r="J3" s="15" t="s">
        <v>101</v>
      </c>
      <c r="K3" s="16" t="s">
        <v>102</v>
      </c>
    </row>
    <row r="4" spans="2:15" x14ac:dyDescent="0.45">
      <c r="B4" s="17" t="s">
        <v>83</v>
      </c>
      <c r="C4" s="12">
        <v>2</v>
      </c>
      <c r="D4" s="18"/>
      <c r="E4" s="19"/>
      <c r="F4" s="12"/>
      <c r="G4" s="20">
        <f>IF(ISNUMBER(E4),E4,0)*C4</f>
        <v>0</v>
      </c>
      <c r="I4" s="15" t="s">
        <v>103</v>
      </c>
      <c r="J4" s="15">
        <v>0.84751299999999996</v>
      </c>
      <c r="K4" s="15">
        <v>1.1799230000000001</v>
      </c>
      <c r="M4" s="21"/>
    </row>
    <row r="5" spans="2:15" x14ac:dyDescent="0.45">
      <c r="B5" s="17" t="s">
        <v>29</v>
      </c>
      <c r="C5" s="12">
        <v>4</v>
      </c>
      <c r="D5" s="18"/>
      <c r="E5" s="19"/>
      <c r="F5" s="12"/>
      <c r="G5" s="20">
        <f t="shared" ref="G5:G17" si="0">IF(ISNUMBER(E5),E5,0)*C5</f>
        <v>0</v>
      </c>
      <c r="I5" s="15" t="s">
        <v>104</v>
      </c>
      <c r="J5" s="15">
        <v>0.739201</v>
      </c>
      <c r="K5" s="15">
        <v>1.352813</v>
      </c>
    </row>
    <row r="6" spans="2:15" x14ac:dyDescent="0.45">
      <c r="B6" s="17" t="s">
        <v>25</v>
      </c>
      <c r="C6" s="12">
        <v>7</v>
      </c>
      <c r="D6" s="18"/>
      <c r="E6" s="19"/>
      <c r="F6" s="12"/>
      <c r="G6" s="20">
        <f t="shared" si="0"/>
        <v>0</v>
      </c>
      <c r="I6" s="15" t="s">
        <v>105</v>
      </c>
      <c r="J6" s="15">
        <v>90.921794000000006</v>
      </c>
      <c r="K6" s="15">
        <v>1.0998000000000001E-2</v>
      </c>
    </row>
    <row r="7" spans="2:15" x14ac:dyDescent="0.45">
      <c r="B7" s="17"/>
      <c r="C7" s="12"/>
      <c r="D7" s="18"/>
      <c r="E7" s="19"/>
      <c r="F7" s="12"/>
      <c r="G7" s="20">
        <f t="shared" si="0"/>
        <v>0</v>
      </c>
      <c r="I7" s="15" t="s">
        <v>106</v>
      </c>
      <c r="J7" s="15">
        <v>1.4043909999999999</v>
      </c>
      <c r="K7" s="15">
        <v>0.71205300000000005</v>
      </c>
    </row>
    <row r="8" spans="2:15" x14ac:dyDescent="0.45">
      <c r="B8" s="17"/>
      <c r="C8" s="12"/>
      <c r="D8" s="18"/>
      <c r="E8" s="19"/>
      <c r="F8" s="12"/>
      <c r="G8" s="20">
        <f t="shared" si="0"/>
        <v>0</v>
      </c>
      <c r="I8" s="15" t="s">
        <v>107</v>
      </c>
      <c r="J8" s="15">
        <v>1.367621</v>
      </c>
      <c r="K8" s="15">
        <v>0.73119699999999999</v>
      </c>
    </row>
    <row r="9" spans="2:15" x14ac:dyDescent="0.45">
      <c r="B9" s="17"/>
      <c r="C9" s="12"/>
      <c r="D9" s="18"/>
      <c r="E9" s="19"/>
      <c r="F9" s="12"/>
      <c r="G9" s="20">
        <f t="shared" si="0"/>
        <v>0</v>
      </c>
      <c r="I9" s="15" t="s">
        <v>108</v>
      </c>
      <c r="J9" s="15">
        <v>1.263666</v>
      </c>
      <c r="K9" s="15">
        <v>0.79134800000000005</v>
      </c>
    </row>
    <row r="10" spans="2:15" x14ac:dyDescent="0.45">
      <c r="B10" s="17"/>
      <c r="C10" s="12"/>
      <c r="D10" s="18"/>
      <c r="E10" s="19"/>
      <c r="F10" s="12"/>
      <c r="G10" s="20">
        <f t="shared" si="0"/>
        <v>0</v>
      </c>
      <c r="I10" s="15" t="s">
        <v>109</v>
      </c>
      <c r="J10" s="15">
        <v>0.77390400000000004</v>
      </c>
      <c r="K10" s="15">
        <v>1.2921499999999999</v>
      </c>
    </row>
    <row r="11" spans="2:15" x14ac:dyDescent="0.45">
      <c r="B11" s="17"/>
      <c r="C11" s="12"/>
      <c r="D11" s="18"/>
      <c r="E11" s="19"/>
      <c r="F11" s="12"/>
      <c r="G11" s="20">
        <f t="shared" si="0"/>
        <v>0</v>
      </c>
      <c r="I11" s="15" t="s">
        <v>110</v>
      </c>
      <c r="J11" s="15">
        <v>3.8876499999999998</v>
      </c>
      <c r="K11" s="15">
        <v>0.25722499999999998</v>
      </c>
    </row>
    <row r="12" spans="2:15" x14ac:dyDescent="0.45">
      <c r="B12" s="17"/>
      <c r="C12" s="12"/>
      <c r="D12" s="18"/>
      <c r="E12" s="19"/>
      <c r="F12" s="12"/>
      <c r="G12" s="20">
        <f t="shared" si="0"/>
        <v>0</v>
      </c>
      <c r="I12" s="15" t="s">
        <v>111</v>
      </c>
      <c r="J12" s="15">
        <v>156.054665</v>
      </c>
      <c r="K12" s="15">
        <v>6.4079999999999996E-3</v>
      </c>
    </row>
    <row r="13" spans="2:15" x14ac:dyDescent="0.45">
      <c r="B13" s="17"/>
      <c r="C13" s="12"/>
      <c r="D13" s="18"/>
      <c r="E13" s="19"/>
      <c r="F13" s="12"/>
      <c r="G13" s="20">
        <f t="shared" si="0"/>
        <v>0</v>
      </c>
      <c r="I13" s="15" t="s">
        <v>112</v>
      </c>
      <c r="J13" s="15">
        <v>6.8412499999999996</v>
      </c>
      <c r="K13" s="15">
        <v>0.146172</v>
      </c>
    </row>
    <row r="14" spans="2:15" x14ac:dyDescent="0.45">
      <c r="B14" s="17"/>
      <c r="C14" s="12"/>
      <c r="D14" s="18"/>
      <c r="E14" s="19"/>
      <c r="F14" s="12"/>
      <c r="G14" s="20">
        <f t="shared" si="0"/>
        <v>0</v>
      </c>
      <c r="I14" s="15"/>
      <c r="J14" s="15"/>
      <c r="K14" s="15"/>
    </row>
    <row r="15" spans="2:15" x14ac:dyDescent="0.45">
      <c r="B15" s="17"/>
      <c r="C15" s="12"/>
      <c r="D15" s="18"/>
      <c r="E15" s="19"/>
      <c r="F15" s="12"/>
      <c r="G15" s="20">
        <f t="shared" si="0"/>
        <v>0</v>
      </c>
    </row>
    <row r="16" spans="2:15" x14ac:dyDescent="0.45">
      <c r="B16" s="17"/>
      <c r="C16" s="12"/>
      <c r="D16" s="18"/>
      <c r="E16" s="19"/>
      <c r="F16" s="12"/>
      <c r="G16" s="20">
        <f t="shared" si="0"/>
        <v>0</v>
      </c>
    </row>
    <row r="17" spans="2:11" x14ac:dyDescent="0.45">
      <c r="B17" s="17"/>
      <c r="C17" s="12"/>
      <c r="D17" s="18"/>
      <c r="E17" s="19"/>
      <c r="F17" s="12"/>
      <c r="G17" s="20">
        <f t="shared" si="0"/>
        <v>0</v>
      </c>
      <c r="I17" s="22" t="s">
        <v>113</v>
      </c>
      <c r="J17" s="23" t="s">
        <v>120</v>
      </c>
      <c r="K17" s="23" t="s">
        <v>114</v>
      </c>
    </row>
    <row r="18" spans="2:11" x14ac:dyDescent="0.45">
      <c r="I18" s="24">
        <v>0</v>
      </c>
      <c r="J18" s="25">
        <v>0</v>
      </c>
      <c r="K18" s="25">
        <v>0.02</v>
      </c>
    </row>
    <row r="19" spans="2:11" x14ac:dyDescent="0.45">
      <c r="B19" s="26" t="s">
        <v>123</v>
      </c>
      <c r="C19" s="27" t="s">
        <v>114</v>
      </c>
      <c r="F19" s="18" t="s">
        <v>115</v>
      </c>
      <c r="G19" s="20">
        <f>SUM(G4:G17)</f>
        <v>0</v>
      </c>
      <c r="I19" s="24">
        <v>50</v>
      </c>
      <c r="J19" s="25">
        <v>0.02</v>
      </c>
      <c r="K19" s="25">
        <v>0.05</v>
      </c>
    </row>
    <row r="20" spans="2:11" x14ac:dyDescent="0.45">
      <c r="B20" s="26" t="s">
        <v>116</v>
      </c>
      <c r="C20" s="27" t="s">
        <v>106</v>
      </c>
      <c r="F20" s="11" t="s">
        <v>117</v>
      </c>
      <c r="G20" s="40"/>
      <c r="I20" s="24">
        <v>150</v>
      </c>
      <c r="J20" s="25">
        <v>0.05</v>
      </c>
      <c r="K20" s="25">
        <v>0.08</v>
      </c>
    </row>
    <row r="21" spans="2:11" x14ac:dyDescent="0.45">
      <c r="B21" s="26" t="s">
        <v>118</v>
      </c>
      <c r="C21" s="27"/>
      <c r="F21" s="11" t="s">
        <v>119</v>
      </c>
      <c r="G21" s="20">
        <f>G19-(G20*G19)</f>
        <v>0</v>
      </c>
      <c r="I21" s="24">
        <v>250</v>
      </c>
      <c r="J21" s="25">
        <v>0.08</v>
      </c>
      <c r="K21" s="25">
        <v>0.15</v>
      </c>
    </row>
    <row r="23" spans="2:11" ht="14.35" thickBot="1" x14ac:dyDescent="0.5">
      <c r="B23" s="28" t="str">
        <f>"Total in "&amp;C20&amp;"s"</f>
        <v>Total in Australian Dollars</v>
      </c>
      <c r="C23" s="28"/>
      <c r="D23" s="28"/>
      <c r="E23" s="28"/>
      <c r="F23" s="29"/>
      <c r="G23" s="30">
        <f>G21*C21</f>
        <v>0</v>
      </c>
    </row>
    <row r="24" spans="2:11" ht="14.35" thickTop="1" x14ac:dyDescent="0.45"/>
  </sheetData>
  <mergeCells count="1">
    <mergeCell ref="I1:K1"/>
  </mergeCells>
  <dataValidations count="3">
    <dataValidation type="list" allowBlank="1" showInputMessage="1" showErrorMessage="1" sqref="C20" xr:uid="{CEDEDBED-45ED-47B8-86BB-297EAC592AFD}">
      <formula1>$I$4:$I$13</formula1>
    </dataValidation>
    <dataValidation type="list" allowBlank="1" showInputMessage="1" showErrorMessage="1" sqref="B4:B17" xr:uid="{A552F085-9EC3-4EDC-8A60-EBFE7E57E659}">
      <formula1>Product_Code</formula1>
    </dataValidation>
    <dataValidation type="list" allowBlank="1" showInputMessage="1" showErrorMessage="1" sqref="C19" xr:uid="{A91596E7-8C51-4C5A-81DA-26371206F691}">
      <formula1>$J$17:$K$17</formula1>
    </dataValidation>
  </dataValidation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7C4400122EC349ACEA4BBC8F3BAA84" ma:contentTypeVersion="12" ma:contentTypeDescription="Create a new document." ma:contentTypeScope="" ma:versionID="72c72dcce1c58cf93ed9054fed24531c">
  <xsd:schema xmlns:xsd="http://www.w3.org/2001/XMLSchema" xmlns:xs="http://www.w3.org/2001/XMLSchema" xmlns:p="http://schemas.microsoft.com/office/2006/metadata/properties" xmlns:ns2="13e367c9-b7f8-474d-b565-ddd846dee849" xmlns:ns3="dbc23dfd-dab4-47a2-819e-884cbf30208c" targetNamespace="http://schemas.microsoft.com/office/2006/metadata/properties" ma:root="true" ma:fieldsID="0f2c1e3a6e6df76ca6a7f746fc51bce5" ns2:_="" ns3:_="">
    <xsd:import namespace="13e367c9-b7f8-474d-b565-ddd846dee849"/>
    <xsd:import namespace="dbc23dfd-dab4-47a2-819e-884cbf30208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367c9-b7f8-474d-b565-ddd846dee84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23dfd-dab4-47a2-819e-884cbf30208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6145c9d-970e-4629-8273-cd16e38b5665}" ma:internalName="TaxCatchAll" ma:showField="CatchAllData" ma:web="dbc23dfd-dab4-47a2-819e-884cbf3020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c23dfd-dab4-47a2-819e-884cbf30208c" xsi:nil="true"/>
    <lcf76f155ced4ddcb4097134ff3c332f xmlns="13e367c9-b7f8-474d-b565-ddd846dee8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5C71AA-5932-41EA-8FF1-3F32FF371DC6}"/>
</file>

<file path=customXml/itemProps2.xml><?xml version="1.0" encoding="utf-8"?>
<ds:datastoreItem xmlns:ds="http://schemas.openxmlformats.org/officeDocument/2006/customXml" ds:itemID="{52EA47FD-45B0-4EF7-82A4-D20726CAF4AC}"/>
</file>

<file path=customXml/itemProps3.xml><?xml version="1.0" encoding="utf-8"?>
<ds:datastoreItem xmlns:ds="http://schemas.openxmlformats.org/officeDocument/2006/customXml" ds:itemID="{C9EB1276-3239-42C1-A80F-4CEE1C9D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 List</vt:lpstr>
      <vt:lpstr>Quote</vt:lpstr>
      <vt:lpstr>Product_Code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Nicole Bull</cp:lastModifiedBy>
  <dcterms:created xsi:type="dcterms:W3CDTF">2026-02-26T09:51:52Z</dcterms:created>
  <dcterms:modified xsi:type="dcterms:W3CDTF">2026-04-10T01:02:56Z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0x0101009D7C4400122EC349ACEA4BBC8F3BAA84</vt:lpwstr>
  </property>
</Properties>
</file>